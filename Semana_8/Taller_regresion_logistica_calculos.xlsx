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web-uniminuto\NRC-94103-Fundamentos_IA\Semana_8\"/>
    </mc:Choice>
  </mc:AlternateContent>
  <xr:revisionPtr revIDLastSave="0" documentId="13_ncr:1_{DA52C2D9-05F1-4D52-8BDE-B5A1957387B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aso1_Modelo" sheetId="1" r:id="rId1"/>
    <sheet name="Paso2_3_z_y_P" sheetId="2" r:id="rId2"/>
    <sheet name="Paso4_Estudiantes" sheetId="3" r:id="rId3"/>
    <sheet name="Paso5_OddsRatio" sheetId="4" r:id="rId4"/>
    <sheet name="Paso6_MatrizConfusion" sheetId="5" r:id="rId5"/>
    <sheet name="Reto_WritingScore" sheetId="6" r:id="rId6"/>
  </sheets>
  <calcPr calcId="191029"/>
</workbook>
</file>

<file path=xl/calcChain.xml><?xml version="1.0" encoding="utf-8"?>
<calcChain xmlns="http://schemas.openxmlformats.org/spreadsheetml/2006/main">
  <c r="B4" i="4" l="1"/>
  <c r="C16" i="6"/>
  <c r="C14" i="6"/>
  <c r="D14" i="6" s="1"/>
  <c r="E14" i="6" s="1"/>
  <c r="B14" i="6"/>
  <c r="C13" i="6"/>
  <c r="D13" i="6" s="1"/>
  <c r="E13" i="6" s="1"/>
  <c r="B13" i="6"/>
  <c r="C12" i="6"/>
  <c r="D12" i="6" s="1"/>
  <c r="E12" i="6" s="1"/>
  <c r="B12" i="6"/>
  <c r="C11" i="6"/>
  <c r="D11" i="6" s="1"/>
  <c r="E11" i="6" s="1"/>
  <c r="B11" i="6"/>
  <c r="C10" i="6"/>
  <c r="D10" i="6" s="1"/>
  <c r="E10" i="6" s="1"/>
  <c r="B10" i="6"/>
  <c r="C9" i="6"/>
  <c r="D9" i="6" s="1"/>
  <c r="E9" i="6" s="1"/>
  <c r="B9" i="6"/>
  <c r="B6" i="6"/>
  <c r="B20" i="6" s="1"/>
  <c r="C12" i="5"/>
  <c r="C11" i="5"/>
  <c r="C7" i="5"/>
  <c r="B7" i="5"/>
  <c r="D7" i="5" s="1"/>
  <c r="C10" i="5" s="1"/>
  <c r="D6" i="5"/>
  <c r="D5" i="5"/>
  <c r="E10" i="4"/>
  <c r="F10" i="4" s="1"/>
  <c r="D10" i="4"/>
  <c r="E9" i="4"/>
  <c r="F9" i="4" s="1"/>
  <c r="D9" i="4"/>
  <c r="B5" i="4"/>
  <c r="E6" i="3"/>
  <c r="F6" i="3" s="1"/>
  <c r="G6" i="3" s="1"/>
  <c r="D6" i="3"/>
  <c r="E5" i="3"/>
  <c r="F5" i="3" s="1"/>
  <c r="G5" i="3" s="1"/>
  <c r="D5" i="3"/>
  <c r="B5" i="2"/>
  <c r="B4" i="2"/>
  <c r="B10" i="2" s="1"/>
  <c r="G10" i="6" l="1"/>
  <c r="F10" i="6"/>
  <c r="B19" i="6"/>
  <c r="C5" i="4"/>
  <c r="A11" i="3"/>
  <c r="H6" i="3"/>
  <c r="G11" i="6"/>
  <c r="F11" i="6"/>
  <c r="F9" i="6"/>
  <c r="G9" i="6"/>
  <c r="G13" i="6"/>
  <c r="F13" i="6"/>
  <c r="A10" i="3"/>
  <c r="H5" i="3"/>
  <c r="F12" i="6"/>
  <c r="G12" i="6"/>
  <c r="G14" i="6"/>
  <c r="F14" i="6"/>
  <c r="C8" i="2"/>
  <c r="D8" i="2" s="1"/>
  <c r="E8" i="2" s="1"/>
  <c r="B9" i="2"/>
  <c r="C10" i="2"/>
  <c r="D10" i="2" s="1"/>
  <c r="E10" i="2" s="1"/>
  <c r="B16" i="2"/>
  <c r="B13" i="4" s="1"/>
  <c r="B11" i="2"/>
  <c r="C11" i="2"/>
  <c r="D11" i="2" s="1"/>
  <c r="E11" i="2" s="1"/>
  <c r="C9" i="2"/>
  <c r="D9" i="2" s="1"/>
  <c r="E9" i="2" s="1"/>
  <c r="B12" i="2"/>
  <c r="C12" i="2"/>
  <c r="D12" i="2" s="1"/>
  <c r="E12" i="2" s="1"/>
  <c r="B8" i="2"/>
  <c r="G11" i="2" l="1"/>
  <c r="F11" i="2"/>
  <c r="G12" i="2"/>
  <c r="F12" i="2"/>
  <c r="F10" i="2"/>
  <c r="G10" i="2"/>
  <c r="G9" i="2"/>
  <c r="F9" i="2"/>
  <c r="G8" i="2"/>
  <c r="F8" i="2"/>
</calcChain>
</file>

<file path=xl/sharedStrings.xml><?xml version="1.0" encoding="utf-8"?>
<sst xmlns="http://schemas.openxmlformats.org/spreadsheetml/2006/main" count="102" uniqueCount="90">
  <si>
    <t>Taller regresión logística — Modelo matemático (Semana 8)</t>
  </si>
  <si>
    <t>Datos: StudentsPerformance.csv (1000 estudiantes). Y = aprueba_mate (math score &gt;= 60). X = reading score.</t>
  </si>
  <si>
    <t>Paso 0. Definición del problema</t>
  </si>
  <si>
    <t>Variable dependiente (Y)</t>
  </si>
  <si>
    <t>aprueba_mate = 1 si math score &gt;= 60, 0 si no</t>
  </si>
  <si>
    <t>Variable independiente (X)</t>
  </si>
  <si>
    <t>reading score</t>
  </si>
  <si>
    <t>Tamaño de la muestra</t>
  </si>
  <si>
    <t>Aprueban (Y=1)</t>
  </si>
  <si>
    <t>No aprueban (Y=0)</t>
  </si>
  <si>
    <t>Paso 1. Coeficientes del modelo (ajustados con sm.Logit, máxima verosimilitud)</t>
  </si>
  <si>
    <t>Coeficiente</t>
  </si>
  <si>
    <t>Valor</t>
  </si>
  <si>
    <t>Std err</t>
  </si>
  <si>
    <t>z / p</t>
  </si>
  <si>
    <t>b0 (intercepto)</t>
  </si>
  <si>
    <t>z = -14.57, p &lt; 0.001</t>
  </si>
  <si>
    <t>b1 (reading score)</t>
  </si>
  <si>
    <t>z = 15.33, p &lt; 0.001</t>
  </si>
  <si>
    <t>Ecuación completa del modelo</t>
  </si>
  <si>
    <t>z = b0 + b1 * X</t>
  </si>
  <si>
    <t>P(aprueba mate) = 1 / (1 + e^(-z))</t>
  </si>
  <si>
    <t>Nota: b0 y b1 son los valores estimados por el software (máxima verosimilitud); no se calculan a mano en este taller. Fuente: 02_Taller_regresion_logistica_profesor.md, Paso 1.</t>
  </si>
  <si>
    <t>Paso 2-3. Calcular z y convertir a probabilidad</t>
  </si>
  <si>
    <t>b0 y b1 se referencian desde Paso1_Modelo. z = b0 + b1*X ; P = 1/(1+e^-z)</t>
  </si>
  <si>
    <t>b0 =</t>
  </si>
  <si>
    <t>b1 =</t>
  </si>
  <si>
    <t>reading score (X)</t>
  </si>
  <si>
    <t>Operación</t>
  </si>
  <si>
    <t>z = b0+b1*X</t>
  </si>
  <si>
    <t>e^(-z)</t>
  </si>
  <si>
    <t>P = 1/(1+e^-z)</t>
  </si>
  <si>
    <t>P (%)</t>
  </si>
  <si>
    <t>¿Aprueba? (umbral 0.5)</t>
  </si>
  <si>
    <t>Ejercicio 3.1. Valor de X donde P = 0.5 (z = 0)</t>
  </si>
  <si>
    <t>X (P=0.5) = -b0 / b1 =</t>
  </si>
  <si>
    <t>Nota: valores de reading score (X) son ejemplos del taller (Paso 2), no promedios del dataset.</t>
  </si>
  <si>
    <t>Paso 4. Comprobación con estudiantes reales del dataset</t>
  </si>
  <si>
    <t>Fuente: primeras filas de StudentsPerformance.csv con reading score = 72 y 50 (Ejercicios 4.1 y 4.2).</t>
  </si>
  <si>
    <t>Estudiante</t>
  </si>
  <si>
    <t>math score real</t>
  </si>
  <si>
    <t>aprueba_mate real</t>
  </si>
  <si>
    <t>z</t>
  </si>
  <si>
    <t>P calculada</t>
  </si>
  <si>
    <t>Predicción (umbral 0.5)</t>
  </si>
  <si>
    <t>Fila 1 (mujer, Ej. 4.1)</t>
  </si>
  <si>
    <t>Fila con reading=50 (Ej. 4.2)</t>
  </si>
  <si>
    <t>Comparación: ¿coincide la predicción con la realidad?</t>
  </si>
  <si>
    <t>Nota: el modelo se equivoca en 168 de los 1000 estudiantes en total (ver hoja Paso6_MatrizConfusion).</t>
  </si>
  <si>
    <t>Paso 5. Razón de momios (odds ratio)</t>
  </si>
  <si>
    <t>odds ratio = e^b1. Interpretación: por cada punto adicional de X, los momios de aprobar se multiplican por e^b1.</t>
  </si>
  <si>
    <t>odds ratio = e^b1 =</t>
  </si>
  <si>
    <t>Ejemplo: efecto NO es lineal en probabilidad (mismo odds ratio, distinto cambio de P)</t>
  </si>
  <si>
    <t>Tramo</t>
  </si>
  <si>
    <t>X inicial</t>
  </si>
  <si>
    <t>X final</t>
  </si>
  <si>
    <t>P(X inicial)</t>
  </si>
  <si>
    <t>P(X final)</t>
  </si>
  <si>
    <t>Cambio en P (pp)</t>
  </si>
  <si>
    <t>Extremo bajo</t>
  </si>
  <si>
    <t>Cerca del punto de corte</t>
  </si>
  <si>
    <t>Punto de corte (P=0.5) para reading score:</t>
  </si>
  <si>
    <t>Nota: el odds ratio es constante (efecto multiplicativo sobre los momios), pero el cambio en la probabilidad es mayor cerca de P=0.5 y menor en los extremos (curva sigmoide).</t>
  </si>
  <si>
    <t>Paso 6. Evaluación del modelo: matriz de confusión</t>
  </si>
  <si>
    <t>Matriz de confusión al aplicar el modelo (umbral 0.5) a los 1000 estudiantes del dataset.</t>
  </si>
  <si>
    <t>Predicho: no aprueba</t>
  </si>
  <si>
    <t>Predicho: aprueba</t>
  </si>
  <si>
    <t>Total real</t>
  </si>
  <si>
    <t>Real: no aprueba</t>
  </si>
  <si>
    <t>Real: aprueba</t>
  </si>
  <si>
    <t>Total predicho</t>
  </si>
  <si>
    <t>Ejercicio 6.1. Métricas</t>
  </si>
  <si>
    <t>Exactitud (accuracy)</t>
  </si>
  <si>
    <t>(VN+VP)/Total</t>
  </si>
  <si>
    <t>Precisión (precision)</t>
  </si>
  <si>
    <t>VP/(VP+FP)</t>
  </si>
  <si>
    <t>Sensibilidad (recall)</t>
  </si>
  <si>
    <t>VP/(VP+FN)</t>
  </si>
  <si>
    <t>VN = verdadero negativo (227), FP = falso positivo (96), FN = falso negativo (72), VP = verdadero positivo (605).</t>
  </si>
  <si>
    <t>Reto final. Repetir el modelo con writing score</t>
  </si>
  <si>
    <t>Coeficientes ajustados con sm.Logit (mismo método que Paso 1), usando writing score como X.</t>
  </si>
  <si>
    <t>writing score (X)</t>
  </si>
  <si>
    <t>Punto de corte (P=0.5) para writing score = -b0/b1 =</t>
  </si>
  <si>
    <t>Comparación con reading score:</t>
  </si>
  <si>
    <t>odds ratio reading score =</t>
  </si>
  <si>
    <t>odds ratio writing score =</t>
  </si>
  <si>
    <t>Nota: reading score tiene una relación ligeramente más fuerte con aprobar matemáticas que writing score, aunque ambas variables están altamente correlacionadas entre sí (r ≈ 0.95).</t>
  </si>
  <si>
    <t>(227 + 605) / 1000</t>
  </si>
  <si>
    <t>605 / (605 + 96)</t>
  </si>
  <si>
    <t>605 / (605 + 72)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</si>
</sst>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"/>
    <numFmt numFmtId="167" formatCode="0.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1"/>
      <color rgb="FF404040"/>
      <name val="Arial"/>
    </font>
    <font>
      <b/>
      <sz val="12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i/>
      <sz val="10"/>
      <name val="Arial"/>
    </font>
    <font>
      <i/>
      <sz val="9"/>
      <color rgb="FF808080"/>
      <name val="Arial"/>
    </font>
    <font>
      <sz val="10"/>
      <color rgb="FF000000"/>
      <name val="Arial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E5B8A"/>
      </patternFill>
    </fill>
  </fills>
  <borders count="4">
    <border>
      <left/>
      <right/>
      <top/>
      <bottom/>
      <diagonal/>
    </border>
    <border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  <border>
      <left style="thin">
        <color rgb="FFB7C6DE"/>
      </left>
      <right/>
      <top style="thin">
        <color rgb="FFB7C6DE"/>
      </top>
      <bottom style="thin">
        <color rgb="FFB7C6DE"/>
      </bottom>
      <diagonal/>
    </border>
    <border>
      <left/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horizontal="center" vertical="center"/>
    </xf>
    <xf numFmtId="166" fontId="9" fillId="0" borderId="0" xfId="0" applyNumberFormat="1" applyFont="1"/>
    <xf numFmtId="167" fontId="9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/>
    <xf numFmtId="0" fontId="2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6" fillId="0" borderId="2" xfId="0" applyFont="1" applyBorder="1"/>
    <xf numFmtId="164" fontId="6" fillId="0" borderId="3" xfId="0" applyNumberFormat="1" applyFont="1" applyBorder="1"/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zoomScale="130" zoomScaleNormal="130" workbookViewId="0">
      <selection activeCell="A18" sqref="A18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4" width="18.5703125" bestFit="1" customWidth="1"/>
  </cols>
  <sheetData>
    <row r="1" spans="1:4" ht="18" x14ac:dyDescent="0.25">
      <c r="A1" s="11" t="s">
        <v>0</v>
      </c>
      <c r="B1" s="12"/>
      <c r="C1" s="12"/>
      <c r="D1" s="12"/>
    </row>
    <row r="2" spans="1:4" x14ac:dyDescent="0.25">
      <c r="A2" s="14" t="s">
        <v>1</v>
      </c>
      <c r="B2" s="12"/>
      <c r="C2" s="12"/>
      <c r="D2" s="12"/>
    </row>
    <row r="4" spans="1:4" ht="15.75" x14ac:dyDescent="0.25">
      <c r="A4" s="1" t="s">
        <v>2</v>
      </c>
    </row>
    <row r="5" spans="1:4" x14ac:dyDescent="0.25">
      <c r="A5" s="2" t="s">
        <v>3</v>
      </c>
      <c r="B5" s="3" t="s">
        <v>4</v>
      </c>
    </row>
    <row r="6" spans="1:4" x14ac:dyDescent="0.25">
      <c r="A6" s="2" t="s">
        <v>5</v>
      </c>
      <c r="B6" s="3" t="s">
        <v>6</v>
      </c>
    </row>
    <row r="7" spans="1:4" x14ac:dyDescent="0.25">
      <c r="A7" s="2" t="s">
        <v>7</v>
      </c>
      <c r="B7" s="3">
        <v>1000</v>
      </c>
    </row>
    <row r="8" spans="1:4" x14ac:dyDescent="0.25">
      <c r="A8" s="2" t="s">
        <v>8</v>
      </c>
      <c r="B8" s="3">
        <v>677</v>
      </c>
    </row>
    <row r="9" spans="1:4" x14ac:dyDescent="0.25">
      <c r="A9" s="2" t="s">
        <v>9</v>
      </c>
      <c r="B9" s="3">
        <v>323</v>
      </c>
    </row>
    <row r="11" spans="1:4" ht="15.75" x14ac:dyDescent="0.25">
      <c r="A11" s="15" t="s">
        <v>10</v>
      </c>
      <c r="B11" s="12"/>
      <c r="C11" s="12"/>
      <c r="D11" s="12"/>
    </row>
    <row r="12" spans="1:4" x14ac:dyDescent="0.25">
      <c r="A12" s="20" t="s">
        <v>11</v>
      </c>
      <c r="B12" s="20" t="s">
        <v>12</v>
      </c>
      <c r="C12" s="20" t="s">
        <v>13</v>
      </c>
      <c r="D12" s="20" t="s">
        <v>14</v>
      </c>
    </row>
    <row r="13" spans="1:4" x14ac:dyDescent="0.25">
      <c r="A13" s="4" t="s">
        <v>15</v>
      </c>
      <c r="B13" s="16">
        <v>-10.2254</v>
      </c>
      <c r="C13" s="16">
        <v>0.70199999999999996</v>
      </c>
      <c r="D13" s="16" t="s">
        <v>16</v>
      </c>
    </row>
    <row r="14" spans="1:4" x14ac:dyDescent="0.25">
      <c r="A14" s="4" t="s">
        <v>17</v>
      </c>
      <c r="B14" s="16">
        <v>0.16719999999999999</v>
      </c>
      <c r="C14" s="16">
        <v>1.0999999999999999E-2</v>
      </c>
      <c r="D14" s="16" t="s">
        <v>18</v>
      </c>
    </row>
    <row r="16" spans="1:4" ht="15.75" x14ac:dyDescent="0.25">
      <c r="A16" s="1" t="s">
        <v>19</v>
      </c>
    </row>
    <row r="17" spans="1:4" x14ac:dyDescent="0.25">
      <c r="A17" s="5" t="s">
        <v>20</v>
      </c>
    </row>
    <row r="18" spans="1:4" x14ac:dyDescent="0.25">
      <c r="A18" s="5" t="s">
        <v>21</v>
      </c>
    </row>
    <row r="20" spans="1:4" ht="30" customHeight="1" x14ac:dyDescent="0.25">
      <c r="A20" s="13" t="s">
        <v>22</v>
      </c>
      <c r="B20" s="12"/>
      <c r="C20" s="12"/>
      <c r="D20" s="12"/>
    </row>
  </sheetData>
  <mergeCells count="4">
    <mergeCell ref="A1:D1"/>
    <mergeCell ref="A20:D20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zoomScale="190" zoomScaleNormal="190" workbookViewId="0">
      <selection activeCell="G8" sqref="G8"/>
    </sheetView>
  </sheetViews>
  <sheetFormatPr baseColWidth="10" defaultColWidth="9.140625" defaultRowHeight="15" x14ac:dyDescent="0.25"/>
  <cols>
    <col min="1" max="1" width="16" customWidth="1"/>
    <col min="2" max="2" width="26" customWidth="1"/>
    <col min="3" max="4" width="14" customWidth="1"/>
    <col min="5" max="6" width="18" customWidth="1"/>
    <col min="7" max="7" width="22" customWidth="1"/>
  </cols>
  <sheetData>
    <row r="1" spans="1:7" ht="18" x14ac:dyDescent="0.25">
      <c r="A1" s="11" t="s">
        <v>23</v>
      </c>
      <c r="B1" s="12"/>
      <c r="C1" s="12"/>
      <c r="D1" s="12"/>
      <c r="E1" s="12"/>
      <c r="F1" s="12"/>
      <c r="G1" s="12"/>
    </row>
    <row r="2" spans="1:7" x14ac:dyDescent="0.25">
      <c r="A2" s="14" t="s">
        <v>24</v>
      </c>
      <c r="B2" s="12"/>
      <c r="C2" s="12"/>
      <c r="D2" s="12"/>
      <c r="E2" s="12"/>
      <c r="F2" s="12"/>
      <c r="G2" s="12"/>
    </row>
    <row r="4" spans="1:7" x14ac:dyDescent="0.25">
      <c r="A4" s="2" t="s">
        <v>25</v>
      </c>
      <c r="B4" s="7">
        <f>Paso1_Modelo!B13</f>
        <v>-10.2254</v>
      </c>
    </row>
    <row r="5" spans="1:7" x14ac:dyDescent="0.25">
      <c r="A5" s="2" t="s">
        <v>26</v>
      </c>
      <c r="B5" s="7">
        <f>Paso1_Modelo!B14</f>
        <v>0.16719999999999999</v>
      </c>
    </row>
    <row r="7" spans="1:7" x14ac:dyDescent="0.25">
      <c r="A7" s="19" t="s">
        <v>27</v>
      </c>
      <c r="B7" s="19" t="s">
        <v>28</v>
      </c>
      <c r="C7" s="19" t="s">
        <v>29</v>
      </c>
      <c r="D7" s="19" t="s">
        <v>30</v>
      </c>
      <c r="E7" s="19" t="s">
        <v>31</v>
      </c>
      <c r="F7" s="19" t="s">
        <v>32</v>
      </c>
      <c r="G7" s="19" t="s">
        <v>33</v>
      </c>
    </row>
    <row r="8" spans="1:7" x14ac:dyDescent="0.25">
      <c r="A8" s="16">
        <v>40</v>
      </c>
      <c r="B8" s="16" t="str">
        <f>"z = "&amp;$B$4&amp;" + "&amp;$B$5&amp;" x "&amp;A8</f>
        <v>z = -10,2254 + 0,1672 x 40</v>
      </c>
      <c r="C8" s="17">
        <f>$B$4+$B$5*A8</f>
        <v>-3.5374000000000008</v>
      </c>
      <c r="D8" s="17">
        <f>EXP(-C8)</f>
        <v>34.377421598248546</v>
      </c>
      <c r="E8" s="17">
        <f>1/(1+D8)</f>
        <v>2.8266616243437813E-2</v>
      </c>
      <c r="F8" s="18">
        <f>E8</f>
        <v>2.8266616243437813E-2</v>
      </c>
      <c r="G8" s="8" t="str">
        <f>IF(E8&gt;=0.5,"Si","No")</f>
        <v>No</v>
      </c>
    </row>
    <row r="9" spans="1:7" x14ac:dyDescent="0.25">
      <c r="A9" s="16">
        <v>50</v>
      </c>
      <c r="B9" s="16" t="str">
        <f>"z = "&amp;$B$4&amp;" + "&amp;$B$5&amp;" x "&amp;A9</f>
        <v>z = -10,2254 + 0,1672 x 50</v>
      </c>
      <c r="C9" s="17">
        <f>$B$4+$B$5*A9</f>
        <v>-1.8654000000000011</v>
      </c>
      <c r="D9" s="17">
        <f>EXP(-C9)</f>
        <v>6.4585187768893686</v>
      </c>
      <c r="E9" s="17">
        <f>1/(1+D9)</f>
        <v>0.13407487866070072</v>
      </c>
      <c r="F9" s="18">
        <f>E9</f>
        <v>0.13407487866070072</v>
      </c>
      <c r="G9" s="8" t="str">
        <f>IF(E9&gt;=0.5,"Si","No")</f>
        <v>No</v>
      </c>
    </row>
    <row r="10" spans="1:7" x14ac:dyDescent="0.25">
      <c r="A10" s="16">
        <v>60</v>
      </c>
      <c r="B10" s="16" t="str">
        <f>"z = "&amp;$B$4&amp;" + "&amp;$B$5&amp;" x "&amp;A10</f>
        <v>z = -10,2254 + 0,1672 x 60</v>
      </c>
      <c r="C10" s="17">
        <f>$B$4+$B$5*A10</f>
        <v>-0.19340000000000046</v>
      </c>
      <c r="D10" s="17">
        <f>EXP(-C10)</f>
        <v>1.21336804368009</v>
      </c>
      <c r="E10" s="17">
        <f>1/(1+D10)</f>
        <v>0.4518001436116042</v>
      </c>
      <c r="F10" s="18">
        <f>E10</f>
        <v>0.4518001436116042</v>
      </c>
      <c r="G10" s="8" t="str">
        <f>IF(E10&gt;=0.5,"Si","No")</f>
        <v>No</v>
      </c>
    </row>
    <row r="11" spans="1:7" x14ac:dyDescent="0.25">
      <c r="A11" s="16">
        <v>70</v>
      </c>
      <c r="B11" s="16" t="str">
        <f>"z = "&amp;$B$4&amp;" + "&amp;$B$5&amp;" x "&amp;A11</f>
        <v>z = -10,2254 + 0,1672 x 70</v>
      </c>
      <c r="C11" s="17">
        <f>$B$4+$B$5*A11</f>
        <v>1.4785999999999984</v>
      </c>
      <c r="D11" s="17">
        <f>EXP(-C11)</f>
        <v>0.22795660433662782</v>
      </c>
      <c r="E11" s="17">
        <f>1/(1+D11)</f>
        <v>0.81436102584441439</v>
      </c>
      <c r="F11" s="18">
        <f>E11</f>
        <v>0.81436102584441439</v>
      </c>
      <c r="G11" s="8" t="str">
        <f>IF(E11&gt;=0.5,"Si","No")</f>
        <v>Si</v>
      </c>
    </row>
    <row r="12" spans="1:7" x14ac:dyDescent="0.25">
      <c r="A12" s="16">
        <v>80</v>
      </c>
      <c r="B12" s="16" t="str">
        <f>"z = "&amp;$B$4&amp;" + "&amp;$B$5&amp;" x "&amp;A12</f>
        <v>z = -10,2254 + 0,1672 x 80</v>
      </c>
      <c r="C12" s="17">
        <f>$B$4+$B$5*A12</f>
        <v>3.150599999999999</v>
      </c>
      <c r="D12" s="17">
        <f>EXP(-C12)</f>
        <v>4.2826423302760389E-2</v>
      </c>
      <c r="E12" s="17">
        <f>1/(1+D12)</f>
        <v>0.95893235696203027</v>
      </c>
      <c r="F12" s="18">
        <f>E12</f>
        <v>0.95893235696203027</v>
      </c>
      <c r="G12" s="8" t="str">
        <f>IF(E12&gt;=0.5,"Si","No")</f>
        <v>Si</v>
      </c>
    </row>
    <row r="15" spans="1:7" ht="15.75" x14ac:dyDescent="0.25">
      <c r="A15" s="15" t="s">
        <v>34</v>
      </c>
      <c r="B15" s="12"/>
      <c r="C15" s="12"/>
      <c r="D15" s="12"/>
      <c r="E15" s="12"/>
      <c r="F15" s="12"/>
      <c r="G15" s="12"/>
    </row>
    <row r="16" spans="1:7" x14ac:dyDescent="0.25">
      <c r="A16" s="2" t="s">
        <v>35</v>
      </c>
      <c r="B16" s="9">
        <f>-B4/B5</f>
        <v>61.156698564593306</v>
      </c>
    </row>
    <row r="18" spans="1:7" x14ac:dyDescent="0.25">
      <c r="A18" s="13" t="s">
        <v>36</v>
      </c>
      <c r="B18" s="12"/>
      <c r="C18" s="12"/>
      <c r="D18" s="12"/>
      <c r="E18" s="12"/>
      <c r="F18" s="12"/>
      <c r="G18" s="12"/>
    </row>
  </sheetData>
  <mergeCells count="4">
    <mergeCell ref="A18:G18"/>
    <mergeCell ref="A2:G2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175" zoomScaleNormal="175" workbookViewId="0">
      <selection activeCell="A5" sqref="A5:XFD6"/>
    </sheetView>
  </sheetViews>
  <sheetFormatPr baseColWidth="10" defaultColWidth="9.140625" defaultRowHeight="15" x14ac:dyDescent="0.25"/>
  <cols>
    <col min="1" max="1" width="27.85546875" customWidth="1"/>
    <col min="2" max="2" width="16.5703125" bestFit="1" customWidth="1"/>
    <col min="3" max="3" width="16" customWidth="1"/>
    <col min="4" max="4" width="18.42578125" bestFit="1" customWidth="1"/>
    <col min="5" max="5" width="14" customWidth="1"/>
    <col min="6" max="6" width="15.42578125" customWidth="1"/>
    <col min="7" max="7" width="12.7109375" customWidth="1"/>
    <col min="8" max="8" width="22.28515625" bestFit="1" customWidth="1"/>
  </cols>
  <sheetData>
    <row r="1" spans="1:8" ht="18" x14ac:dyDescent="0.25">
      <c r="A1" s="11" t="s">
        <v>37</v>
      </c>
      <c r="B1" s="12"/>
      <c r="C1" s="12"/>
      <c r="D1" s="12"/>
      <c r="E1" s="12"/>
      <c r="F1" s="12"/>
      <c r="G1" s="12"/>
      <c r="H1" s="12"/>
    </row>
    <row r="2" spans="1:8" x14ac:dyDescent="0.25">
      <c r="A2" s="14" t="s">
        <v>38</v>
      </c>
      <c r="B2" s="12"/>
      <c r="C2" s="12"/>
      <c r="D2" s="12"/>
      <c r="E2" s="12"/>
      <c r="F2" s="12"/>
      <c r="G2" s="12"/>
      <c r="H2" s="12"/>
    </row>
    <row r="4" spans="1:8" x14ac:dyDescent="0.25">
      <c r="A4" s="20" t="s">
        <v>39</v>
      </c>
      <c r="B4" s="20" t="s">
        <v>27</v>
      </c>
      <c r="C4" s="20" t="s">
        <v>40</v>
      </c>
      <c r="D4" s="20" t="s">
        <v>41</v>
      </c>
      <c r="E4" s="20" t="s">
        <v>42</v>
      </c>
      <c r="F4" s="20" t="s">
        <v>30</v>
      </c>
      <c r="G4" s="20" t="s">
        <v>43</v>
      </c>
      <c r="H4" s="20" t="s">
        <v>44</v>
      </c>
    </row>
    <row r="5" spans="1:8" x14ac:dyDescent="0.25">
      <c r="A5" s="4" t="s">
        <v>45</v>
      </c>
      <c r="B5" s="16">
        <v>72</v>
      </c>
      <c r="C5" s="16">
        <v>72</v>
      </c>
      <c r="D5" s="8">
        <f>IF(C5&gt;=60,1,0)</f>
        <v>1</v>
      </c>
      <c r="E5" s="17">
        <f>Paso1_Modelo!$B$13+Paso1_Modelo!$B$14*B5</f>
        <v>1.8129999999999988</v>
      </c>
      <c r="F5" s="17">
        <f>EXP(-E5)</f>
        <v>0.16316391010002015</v>
      </c>
      <c r="G5" s="18">
        <f>1/(1+F5)</f>
        <v>0.85972406065625806</v>
      </c>
      <c r="H5" s="8" t="str">
        <f>IF(G5&gt;=0.5,"Aprueba","No aprueba")</f>
        <v>Aprueba</v>
      </c>
    </row>
    <row r="6" spans="1:8" x14ac:dyDescent="0.25">
      <c r="A6" s="4" t="s">
        <v>46</v>
      </c>
      <c r="B6" s="16">
        <v>50</v>
      </c>
      <c r="C6" s="16">
        <v>50</v>
      </c>
      <c r="D6" s="8">
        <f>IF(C6&gt;=60,1,0)</f>
        <v>0</v>
      </c>
      <c r="E6" s="17">
        <f>Paso1_Modelo!$B$13+Paso1_Modelo!$B$14*B6</f>
        <v>-1.8654000000000011</v>
      </c>
      <c r="F6" s="17">
        <f>EXP(-E6)</f>
        <v>6.4585187768893686</v>
      </c>
      <c r="G6" s="18">
        <f>1/(1+F6)</f>
        <v>0.13407487866070072</v>
      </c>
      <c r="H6" s="8" t="str">
        <f>IF(G6&gt;=0.5,"Aprueba","No aprueba")</f>
        <v>No aprueba</v>
      </c>
    </row>
    <row r="9" spans="1:8" x14ac:dyDescent="0.25">
      <c r="A9" s="2" t="s">
        <v>47</v>
      </c>
    </row>
    <row r="10" spans="1:8" x14ac:dyDescent="0.25">
      <c r="A10" s="7" t="str">
        <f>IF(AND((G5&gt;=0.5)=(D5=1)),"Fila 1: el modelo ACIERTA","Fila 1: el modelo FALLA")</f>
        <v>Fila 1: el modelo ACIERTA</v>
      </c>
    </row>
    <row r="11" spans="1:8" x14ac:dyDescent="0.25">
      <c r="A11" s="7" t="str">
        <f>IF(AND((G6&gt;=0.5)=(D6=1)),"Fila reading=50: el modelo ACIERTA","Fila reading=50: el modelo FALLA")</f>
        <v>Fila reading=50: el modelo ACIERTA</v>
      </c>
    </row>
    <row r="13" spans="1:8" x14ac:dyDescent="0.25">
      <c r="A13" s="13" t="s">
        <v>48</v>
      </c>
      <c r="B13" s="12"/>
      <c r="C13" s="12"/>
      <c r="D13" s="12"/>
      <c r="E13" s="12"/>
      <c r="F13" s="12"/>
      <c r="G13" s="12"/>
      <c r="H13" s="12"/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="205" zoomScaleNormal="205" workbookViewId="0">
      <selection activeCell="B13" sqref="B13"/>
    </sheetView>
  </sheetViews>
  <sheetFormatPr baseColWidth="10" defaultColWidth="9.140625" defaultRowHeight="15" x14ac:dyDescent="0.25"/>
  <cols>
    <col min="1" max="1" width="26" customWidth="1"/>
    <col min="2" max="5" width="16" customWidth="1"/>
    <col min="6" max="6" width="18" customWidth="1"/>
  </cols>
  <sheetData>
    <row r="1" spans="1:6" ht="18" x14ac:dyDescent="0.25">
      <c r="A1" s="11" t="s">
        <v>49</v>
      </c>
      <c r="B1" s="12"/>
      <c r="C1" s="12"/>
      <c r="D1" s="12"/>
      <c r="E1" s="12"/>
      <c r="F1" s="12"/>
    </row>
    <row r="2" spans="1:6" x14ac:dyDescent="0.25">
      <c r="A2" s="14" t="s">
        <v>50</v>
      </c>
      <c r="B2" s="12"/>
      <c r="C2" s="12"/>
      <c r="D2" s="12"/>
      <c r="E2" s="12"/>
      <c r="F2" s="12"/>
    </row>
    <row r="4" spans="1:6" x14ac:dyDescent="0.25">
      <c r="A4" s="2" t="s">
        <v>26</v>
      </c>
      <c r="B4" s="7">
        <f>Paso1_Modelo!B14</f>
        <v>0.16719999999999999</v>
      </c>
    </row>
    <row r="5" spans="1:6" x14ac:dyDescent="0.25">
      <c r="A5" s="2" t="s">
        <v>51</v>
      </c>
      <c r="B5" s="10">
        <f>EXP(B4)</f>
        <v>1.1819906397980842</v>
      </c>
      <c r="C5" s="7" t="str">
        <f>"(aumento del "&amp;TEXT(B5-1,"0.0%")&amp;")"</f>
        <v>(aumento del 18%)</v>
      </c>
    </row>
    <row r="7" spans="1:6" ht="15.75" x14ac:dyDescent="0.25">
      <c r="A7" s="15" t="s">
        <v>52</v>
      </c>
      <c r="B7" s="12"/>
      <c r="C7" s="12"/>
      <c r="D7" s="12"/>
      <c r="E7" s="12"/>
      <c r="F7" s="12"/>
    </row>
    <row r="8" spans="1:6" x14ac:dyDescent="0.25">
      <c r="A8" s="20" t="s">
        <v>53</v>
      </c>
      <c r="B8" s="20" t="s">
        <v>54</v>
      </c>
      <c r="C8" s="20" t="s">
        <v>55</v>
      </c>
      <c r="D8" s="20" t="s">
        <v>56</v>
      </c>
      <c r="E8" s="20" t="s">
        <v>57</v>
      </c>
      <c r="F8" s="20" t="s">
        <v>58</v>
      </c>
    </row>
    <row r="9" spans="1:6" x14ac:dyDescent="0.25">
      <c r="A9" s="4" t="s">
        <v>59</v>
      </c>
      <c r="B9" s="16">
        <v>40</v>
      </c>
      <c r="C9" s="16">
        <v>41</v>
      </c>
      <c r="D9" s="18">
        <f>1/(1+EXP(-(Paso1_Modelo!$B$13+Paso1_Modelo!$B$14*B9)))</f>
        <v>2.8266616243437813E-2</v>
      </c>
      <c r="E9" s="18">
        <f>1/(1+EXP(-(Paso1_Modelo!$B$13+Paso1_Modelo!$B$14*C9)))</f>
        <v>3.3239881241158932E-2</v>
      </c>
      <c r="F9" s="18">
        <f>(E9-D9)</f>
        <v>4.9732649977211191E-3</v>
      </c>
    </row>
    <row r="10" spans="1:6" x14ac:dyDescent="0.25">
      <c r="A10" s="4" t="s">
        <v>60</v>
      </c>
      <c r="B10" s="16">
        <v>60</v>
      </c>
      <c r="C10" s="16">
        <v>61</v>
      </c>
      <c r="D10" s="18">
        <f>1/(1+EXP(-(Paso1_Modelo!$B$13+Paso1_Modelo!$B$14*B10)))</f>
        <v>0.4518001436116042</v>
      </c>
      <c r="E10" s="18">
        <f>1/(1+EXP(-(Paso1_Modelo!$B$13+Paso1_Modelo!$B$14*C10)))</f>
        <v>0.49345037465611519</v>
      </c>
      <c r="F10" s="18">
        <f>(E10-D10)</f>
        <v>4.1650231044510988E-2</v>
      </c>
    </row>
    <row r="13" spans="1:6" x14ac:dyDescent="0.25">
      <c r="A13" s="2" t="s">
        <v>61</v>
      </c>
      <c r="B13" s="9">
        <f>Paso2_3_z_y_P!B16</f>
        <v>61.156698564593306</v>
      </c>
    </row>
    <row r="15" spans="1:6" ht="30" customHeight="1" x14ac:dyDescent="0.25">
      <c r="A15" s="13" t="s">
        <v>62</v>
      </c>
      <c r="B15" s="12"/>
      <c r="C15" s="12"/>
      <c r="D15" s="12"/>
      <c r="E15" s="12"/>
      <c r="F15" s="12"/>
    </row>
  </sheetData>
  <mergeCells count="4">
    <mergeCell ref="A2:F2"/>
    <mergeCell ref="A1:F1"/>
    <mergeCell ref="A7:F7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zoomScale="220" zoomScaleNormal="220" workbookViewId="0">
      <selection activeCell="C11" sqref="C11"/>
    </sheetView>
  </sheetViews>
  <sheetFormatPr baseColWidth="10" defaultColWidth="9.140625" defaultRowHeight="15" x14ac:dyDescent="0.25"/>
  <cols>
    <col min="1" max="1" width="26" customWidth="1"/>
    <col min="2" max="3" width="22" customWidth="1"/>
    <col min="4" max="4" width="16" customWidth="1"/>
  </cols>
  <sheetData>
    <row r="1" spans="1:4" ht="18" x14ac:dyDescent="0.25">
      <c r="A1" s="11" t="s">
        <v>63</v>
      </c>
      <c r="B1" s="12"/>
      <c r="C1" s="12"/>
      <c r="D1" s="12"/>
    </row>
    <row r="2" spans="1:4" x14ac:dyDescent="0.25">
      <c r="A2" s="14" t="s">
        <v>64</v>
      </c>
      <c r="B2" s="12"/>
      <c r="C2" s="12"/>
      <c r="D2" s="12"/>
    </row>
    <row r="4" spans="1:4" x14ac:dyDescent="0.25">
      <c r="A4" s="21"/>
      <c r="B4" s="20" t="s">
        <v>65</v>
      </c>
      <c r="C4" s="20" t="s">
        <v>66</v>
      </c>
      <c r="D4" s="20" t="s">
        <v>67</v>
      </c>
    </row>
    <row r="5" spans="1:4" x14ac:dyDescent="0.25">
      <c r="A5" s="20" t="s">
        <v>68</v>
      </c>
      <c r="B5" s="16">
        <v>227</v>
      </c>
      <c r="C5" s="16">
        <v>96</v>
      </c>
      <c r="D5" s="16">
        <f>B5+C5</f>
        <v>323</v>
      </c>
    </row>
    <row r="6" spans="1:4" x14ac:dyDescent="0.25">
      <c r="A6" s="20" t="s">
        <v>69</v>
      </c>
      <c r="B6" s="16">
        <v>72</v>
      </c>
      <c r="C6" s="16">
        <v>605</v>
      </c>
      <c r="D6" s="16">
        <f>B6+C6</f>
        <v>677</v>
      </c>
    </row>
    <row r="7" spans="1:4" x14ac:dyDescent="0.25">
      <c r="A7" s="4" t="s">
        <v>70</v>
      </c>
      <c r="B7" s="16">
        <f>B5+B6</f>
        <v>299</v>
      </c>
      <c r="C7" s="16">
        <f>C5+C6</f>
        <v>701</v>
      </c>
      <c r="D7" s="16">
        <f>B7+C7</f>
        <v>1000</v>
      </c>
    </row>
    <row r="9" spans="1:4" ht="15.75" x14ac:dyDescent="0.25">
      <c r="A9" s="15" t="s">
        <v>71</v>
      </c>
      <c r="B9" s="12"/>
      <c r="C9" s="12"/>
      <c r="D9" s="12"/>
    </row>
    <row r="10" spans="1:4" x14ac:dyDescent="0.25">
      <c r="A10" s="22" t="s">
        <v>72</v>
      </c>
      <c r="B10" s="24" t="s">
        <v>87</v>
      </c>
      <c r="C10" s="23">
        <f>(B5+C6)/D7</f>
        <v>0.83199999999999996</v>
      </c>
      <c r="D10" s="6" t="s">
        <v>73</v>
      </c>
    </row>
    <row r="11" spans="1:4" x14ac:dyDescent="0.25">
      <c r="A11" s="22" t="s">
        <v>74</v>
      </c>
      <c r="B11" s="24" t="s">
        <v>88</v>
      </c>
      <c r="C11" s="23">
        <f>C6/(C6+C5)</f>
        <v>0.86305278174037092</v>
      </c>
      <c r="D11" s="6" t="s">
        <v>75</v>
      </c>
    </row>
    <row r="12" spans="1:4" x14ac:dyDescent="0.25">
      <c r="A12" s="22" t="s">
        <v>76</v>
      </c>
      <c r="B12" s="24" t="s">
        <v>89</v>
      </c>
      <c r="C12" s="23">
        <f>C6/(C6+B6)</f>
        <v>0.89364844903988183</v>
      </c>
      <c r="D12" s="6" t="s">
        <v>77</v>
      </c>
    </row>
    <row r="14" spans="1:4" ht="30" customHeight="1" x14ac:dyDescent="0.25">
      <c r="A14" s="13" t="s">
        <v>78</v>
      </c>
      <c r="B14" s="12"/>
      <c r="C14" s="12"/>
      <c r="D14" s="12"/>
    </row>
  </sheetData>
  <mergeCells count="4">
    <mergeCell ref="A1:D1"/>
    <mergeCell ref="A14:D14"/>
    <mergeCell ref="A9:D9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tabSelected="1" zoomScale="160" zoomScaleNormal="160" workbookViewId="0">
      <selection activeCell="D10" sqref="D10"/>
    </sheetView>
  </sheetViews>
  <sheetFormatPr baseColWidth="10" defaultColWidth="9.140625" defaultRowHeight="15" x14ac:dyDescent="0.25"/>
  <cols>
    <col min="1" max="1" width="16" customWidth="1"/>
    <col min="2" max="2" width="26" customWidth="1"/>
    <col min="3" max="4" width="14" customWidth="1"/>
    <col min="5" max="6" width="18" customWidth="1"/>
    <col min="7" max="7" width="22" customWidth="1"/>
  </cols>
  <sheetData>
    <row r="1" spans="1:7" ht="18" x14ac:dyDescent="0.25">
      <c r="A1" s="11" t="s">
        <v>79</v>
      </c>
      <c r="B1" s="12"/>
      <c r="C1" s="12"/>
      <c r="D1" s="12"/>
      <c r="E1" s="12"/>
      <c r="F1" s="12"/>
      <c r="G1" s="12"/>
    </row>
    <row r="2" spans="1:7" x14ac:dyDescent="0.25">
      <c r="A2" s="14" t="s">
        <v>80</v>
      </c>
      <c r="B2" s="12"/>
      <c r="C2" s="12"/>
      <c r="D2" s="12"/>
      <c r="E2" s="12"/>
      <c r="F2" s="12"/>
      <c r="G2" s="12"/>
    </row>
    <row r="4" spans="1:7" x14ac:dyDescent="0.25">
      <c r="A4" s="2" t="s">
        <v>25</v>
      </c>
      <c r="B4" s="3">
        <v>-8.7875999999999994</v>
      </c>
    </row>
    <row r="5" spans="1:7" x14ac:dyDescent="0.25">
      <c r="A5" s="2" t="s">
        <v>26</v>
      </c>
      <c r="B5" s="3">
        <v>0.1477</v>
      </c>
    </row>
    <row r="6" spans="1:7" x14ac:dyDescent="0.25">
      <c r="A6" s="2" t="s">
        <v>51</v>
      </c>
      <c r="B6" s="10">
        <f>EXP(B5)</f>
        <v>1.1591650946669279</v>
      </c>
    </row>
    <row r="8" spans="1:7" x14ac:dyDescent="0.25">
      <c r="A8" s="20" t="s">
        <v>81</v>
      </c>
      <c r="B8" s="20" t="s">
        <v>28</v>
      </c>
      <c r="C8" s="20" t="s">
        <v>29</v>
      </c>
      <c r="D8" s="20" t="s">
        <v>30</v>
      </c>
      <c r="E8" s="20" t="s">
        <v>31</v>
      </c>
      <c r="F8" s="20" t="s">
        <v>32</v>
      </c>
      <c r="G8" s="20" t="s">
        <v>33</v>
      </c>
    </row>
    <row r="9" spans="1:7" x14ac:dyDescent="0.25">
      <c r="A9" s="16">
        <v>40</v>
      </c>
      <c r="B9" s="16" t="str">
        <f t="shared" ref="B9:B14" si="0">"z = "&amp;$B$4&amp;" + "&amp;$B$5&amp;" x "&amp;A9</f>
        <v>z = -8,7876 + 0,1477 x 40</v>
      </c>
      <c r="C9" s="17">
        <f t="shared" ref="C9:C14" si="1">$B$4+$B$5*A9</f>
        <v>-2.8795999999999999</v>
      </c>
      <c r="D9" s="17">
        <f t="shared" ref="D9:D14" si="2">EXP(-C9)</f>
        <v>17.807148895292208</v>
      </c>
      <c r="E9" s="17">
        <f t="shared" ref="E9:E14" si="3">1/(1+D9)</f>
        <v>5.3171270433782725E-2</v>
      </c>
      <c r="F9" s="18">
        <f t="shared" ref="F9:F14" si="4">E9</f>
        <v>5.3171270433782725E-2</v>
      </c>
      <c r="G9" s="8" t="str">
        <f t="shared" ref="G9:G14" si="5">IF(E9&gt;=0.5,"Si","No")</f>
        <v>No</v>
      </c>
    </row>
    <row r="10" spans="1:7" x14ac:dyDescent="0.25">
      <c r="A10" s="16">
        <v>50</v>
      </c>
      <c r="B10" s="16" t="str">
        <f t="shared" si="0"/>
        <v>z = -8,7876 + 0,1477 x 50</v>
      </c>
      <c r="C10" s="17">
        <f t="shared" si="1"/>
        <v>-1.4025999999999996</v>
      </c>
      <c r="D10" s="17">
        <f t="shared" si="2"/>
        <v>4.0657572052211153</v>
      </c>
      <c r="E10" s="17">
        <f t="shared" si="3"/>
        <v>0.19740385484115419</v>
      </c>
      <c r="F10" s="18">
        <f t="shared" si="4"/>
        <v>0.19740385484115419</v>
      </c>
      <c r="G10" s="8" t="str">
        <f t="shared" si="5"/>
        <v>No</v>
      </c>
    </row>
    <row r="11" spans="1:7" x14ac:dyDescent="0.25">
      <c r="A11" s="16">
        <v>60</v>
      </c>
      <c r="B11" s="16" t="str">
        <f t="shared" si="0"/>
        <v>z = -8,7876 + 0,1477 x 60</v>
      </c>
      <c r="C11" s="17">
        <f t="shared" si="1"/>
        <v>7.4400000000000688E-2</v>
      </c>
      <c r="D11" s="17">
        <f t="shared" si="2"/>
        <v>0.92830029944758075</v>
      </c>
      <c r="E11" s="17">
        <f t="shared" si="3"/>
        <v>0.51859142493857413</v>
      </c>
      <c r="F11" s="18">
        <f t="shared" si="4"/>
        <v>0.51859142493857413</v>
      </c>
      <c r="G11" s="8" t="str">
        <f t="shared" si="5"/>
        <v>Si</v>
      </c>
    </row>
    <row r="12" spans="1:7" x14ac:dyDescent="0.25">
      <c r="A12" s="16">
        <v>65</v>
      </c>
      <c r="B12" s="16" t="str">
        <f t="shared" si="0"/>
        <v>z = -8,7876 + 0,1477 x 65</v>
      </c>
      <c r="C12" s="17">
        <f t="shared" si="1"/>
        <v>0.81290000000000084</v>
      </c>
      <c r="D12" s="17">
        <f t="shared" si="2"/>
        <v>0.44356984665209903</v>
      </c>
      <c r="E12" s="17">
        <f t="shared" si="3"/>
        <v>0.69272713219882076</v>
      </c>
      <c r="F12" s="18">
        <f t="shared" si="4"/>
        <v>0.69272713219882076</v>
      </c>
      <c r="G12" s="8" t="str">
        <f t="shared" si="5"/>
        <v>Si</v>
      </c>
    </row>
    <row r="13" spans="1:7" x14ac:dyDescent="0.25">
      <c r="A13" s="16">
        <v>70</v>
      </c>
      <c r="B13" s="16" t="str">
        <f t="shared" si="0"/>
        <v>z = -8,7876 + 0,1477 x 70</v>
      </c>
      <c r="C13" s="17">
        <f t="shared" si="1"/>
        <v>1.551400000000001</v>
      </c>
      <c r="D13" s="17">
        <f t="shared" si="2"/>
        <v>0.21195103456936565</v>
      </c>
      <c r="E13" s="17">
        <f t="shared" si="3"/>
        <v>0.82511584336022559</v>
      </c>
      <c r="F13" s="18">
        <f t="shared" si="4"/>
        <v>0.82511584336022559</v>
      </c>
      <c r="G13" s="8" t="str">
        <f t="shared" si="5"/>
        <v>Si</v>
      </c>
    </row>
    <row r="14" spans="1:7" x14ac:dyDescent="0.25">
      <c r="A14" s="16">
        <v>80</v>
      </c>
      <c r="B14" s="16" t="str">
        <f t="shared" si="0"/>
        <v>z = -8,7876 + 0,1477 x 80</v>
      </c>
      <c r="C14" s="17">
        <f t="shared" si="1"/>
        <v>3.0283999999999995</v>
      </c>
      <c r="D14" s="17">
        <f t="shared" si="2"/>
        <v>4.8393005024082981E-2</v>
      </c>
      <c r="E14" s="17">
        <f t="shared" si="3"/>
        <v>0.95384077841784976</v>
      </c>
      <c r="F14" s="18">
        <f t="shared" si="4"/>
        <v>0.95384077841784976</v>
      </c>
      <c r="G14" s="8" t="str">
        <f t="shared" si="5"/>
        <v>Si</v>
      </c>
    </row>
    <row r="16" spans="1:7" x14ac:dyDescent="0.25">
      <c r="A16" s="2" t="s">
        <v>82</v>
      </c>
      <c r="C16" s="9">
        <f>-B4/B5</f>
        <v>59.496276235612726</v>
      </c>
    </row>
    <row r="18" spans="1:7" x14ac:dyDescent="0.25">
      <c r="A18" s="2" t="s">
        <v>83</v>
      </c>
    </row>
    <row r="19" spans="1:7" x14ac:dyDescent="0.25">
      <c r="A19" s="2" t="s">
        <v>84</v>
      </c>
      <c r="B19" s="10">
        <f>Paso5_OddsRatio!B5</f>
        <v>1.1819906397980842</v>
      </c>
    </row>
    <row r="20" spans="1:7" x14ac:dyDescent="0.25">
      <c r="A20" s="2" t="s">
        <v>85</v>
      </c>
      <c r="B20" s="10">
        <f>B6</f>
        <v>1.1591650946669279</v>
      </c>
    </row>
    <row r="22" spans="1:7" ht="30" customHeight="1" x14ac:dyDescent="0.25">
      <c r="A22" s="13" t="s">
        <v>86</v>
      </c>
      <c r="B22" s="12"/>
      <c r="C22" s="12"/>
      <c r="D22" s="12"/>
      <c r="E22" s="12"/>
      <c r="F22" s="12"/>
      <c r="G22" s="12"/>
    </row>
  </sheetData>
  <mergeCells count="3">
    <mergeCell ref="A2:G2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Paso1_Modelo</vt:lpstr>
      <vt:lpstr>Paso2_3_z_y_P</vt:lpstr>
      <vt:lpstr>Paso4_Estudiantes</vt:lpstr>
      <vt:lpstr>Paso5_OddsRatio</vt:lpstr>
      <vt:lpstr>Paso6_MatrizConfusion</vt:lpstr>
      <vt:lpstr>Reto_WritingScore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Alfonso</cp:lastModifiedBy>
  <dcterms:created xsi:type="dcterms:W3CDTF">2026-08-19T23:59:02Z</dcterms:created>
  <dcterms:modified xsi:type="dcterms:W3CDTF">2026-08-20T00:28:14Z</dcterms:modified>
</cp:coreProperties>
</file>